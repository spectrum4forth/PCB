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pcbfiles\wirelesscharger\guangzhou3\"/>
    </mc:Choice>
  </mc:AlternateContent>
  <bookViews>
    <workbookView xWindow="0" yWindow="0" windowWidth="28740" windowHeight="16380"/>
  </bookViews>
  <sheets>
    <sheet name="Guangzhou3A" sheetId="1" r:id="rId1"/>
  </sheets>
  <definedNames>
    <definedName name="_xlnm.Print_Area" localSheetId="0">Guangzhou3A!$A$1:$H$46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1" l="1"/>
  <c r="F45" i="1"/>
  <c r="F44" i="1"/>
</calcChain>
</file>

<file path=xl/sharedStrings.xml><?xml version="1.0" encoding="utf-8"?>
<sst xmlns="http://schemas.openxmlformats.org/spreadsheetml/2006/main" count="259" uniqueCount="144">
  <si>
    <t>Comment</t>
  </si>
  <si>
    <t>Description</t>
  </si>
  <si>
    <t>Designator</t>
  </si>
  <si>
    <t>Footprint</t>
  </si>
  <si>
    <t>PN</t>
  </si>
  <si>
    <t>Quantity</t>
  </si>
  <si>
    <t>Value</t>
  </si>
  <si>
    <t>CAP</t>
  </si>
  <si>
    <t>Capacitor</t>
  </si>
  <si>
    <t>C4, C5, C7_P1, C7_P2, C7_P3, C7_P4, C9_P1, C9_P2, C9_P3, C9_P4, C19_P1, C19_P2, C19_P3, C19_P4, C21, C36, C37, C38, C40, C41, C42, C44, C45, C46, C56</t>
  </si>
  <si>
    <t>C0402</t>
  </si>
  <si>
    <t/>
  </si>
  <si>
    <t>0.1uF</t>
  </si>
  <si>
    <t>C8_P1, C8_P2, C8_P3, C8_P4, C15_P1, C15_P2, C15_P3, C15_P4</t>
  </si>
  <si>
    <t>100pF</t>
  </si>
  <si>
    <t>C10_P1, C10_P2, C10_P3, C10_P4</t>
  </si>
  <si>
    <t>5.6pF</t>
  </si>
  <si>
    <t>C11_P1, C11_P2, C11_P3, C11_P4</t>
  </si>
  <si>
    <t>20pF</t>
  </si>
  <si>
    <t>C12_P1, C12_P2, C12_P3, C12_P4</t>
  </si>
  <si>
    <t>12pF</t>
  </si>
  <si>
    <t>C13_P1, C13_P2, C13_P3, C13_P4</t>
  </si>
  <si>
    <t>3.9pF</t>
  </si>
  <si>
    <t>C20</t>
  </si>
  <si>
    <t>C0603</t>
  </si>
  <si>
    <t>10uF</t>
  </si>
  <si>
    <t>C47, C55, C57, C126, C127, C128, C129</t>
  </si>
  <si>
    <t>22uF</t>
  </si>
  <si>
    <t>C48</t>
  </si>
  <si>
    <t>470pF</t>
  </si>
  <si>
    <t>C125</t>
  </si>
  <si>
    <t>2.2uF</t>
  </si>
  <si>
    <t>LED</t>
  </si>
  <si>
    <t>D8</t>
  </si>
  <si>
    <t>LED0603</t>
  </si>
  <si>
    <t>XL-1608UGC-04</t>
  </si>
  <si>
    <t>R</t>
  </si>
  <si>
    <t>FB2_P1, FB2_P2, FB2_P3, FB2_P4, FB3</t>
  </si>
  <si>
    <t>L0402</t>
  </si>
  <si>
    <t>0R</t>
  </si>
  <si>
    <t>HEADER5</t>
  </si>
  <si>
    <t>Header, 5-Pin</t>
  </si>
  <si>
    <t>J1</t>
  </si>
  <si>
    <t>HDR1X5</t>
  </si>
  <si>
    <t>PM2.54-1*5</t>
  </si>
  <si>
    <t>F.UL</t>
  </si>
  <si>
    <t>J2_P1, J2_P2, J2_P3, J2_P4</t>
  </si>
  <si>
    <t>20279-001E-03</t>
  </si>
  <si>
    <t>IND</t>
  </si>
  <si>
    <t>BEAD 120 ohm, 400mA, 0402</t>
  </si>
  <si>
    <t>L1_P1, L1_P2, L1_P3, L1_P4</t>
  </si>
  <si>
    <t>LQW15AN24NG80D</t>
  </si>
  <si>
    <t>24nH</t>
  </si>
  <si>
    <t>L2_P1, L2_P2, L2_P3, L2_P4</t>
  </si>
  <si>
    <t>LQW15AN4N7C00D</t>
  </si>
  <si>
    <t>12nH</t>
  </si>
  <si>
    <t>L3_P1, L3_P2, L3_P3, L3_P4, L6_P1, L6_P2, L6_P3, L6_P4</t>
  </si>
  <si>
    <t>6.8nH</t>
  </si>
  <si>
    <t>L5_P1, L5_P2, L5_P3, L5_P4</t>
  </si>
  <si>
    <t>x</t>
  </si>
  <si>
    <t>5.1nH</t>
  </si>
  <si>
    <t>L11</t>
  </si>
  <si>
    <t>SPM6530</t>
  </si>
  <si>
    <t>1.5uH</t>
  </si>
  <si>
    <t>Header 12</t>
  </si>
  <si>
    <t>Header, 12-Pin</t>
  </si>
  <si>
    <t>P1</t>
  </si>
  <si>
    <t>HDR1X12</t>
  </si>
  <si>
    <t>PM2.54-YP1D-12A</t>
  </si>
  <si>
    <t>TRANSISTOR</t>
  </si>
  <si>
    <t>NPN Bipolar Transistor</t>
  </si>
  <si>
    <t>Q1_P1, Q1_P2, Q1_P3, Q1_P4</t>
  </si>
  <si>
    <t>SO-23</t>
  </si>
  <si>
    <t>MMBT2369A</t>
  </si>
  <si>
    <t>NPN</t>
  </si>
  <si>
    <t>Resistor</t>
  </si>
  <si>
    <t>R1, R3, R6_P1, R6_P2, R6_P3, R6_P4, R9_P1, R9_P2, R9_P3, R9_P4, R11, R30</t>
  </si>
  <si>
    <t>R0402</t>
  </si>
  <si>
    <t>ERJ-2RKF000X</t>
  </si>
  <si>
    <t>4.7K</t>
  </si>
  <si>
    <t>3.3K</t>
  </si>
  <si>
    <t>R5_P1, R5_P2, R5_P3, R5_P4</t>
  </si>
  <si>
    <t>6.8K</t>
  </si>
  <si>
    <t>R13_P1, R13_P2, R13_P3, R13_P4, R16_P1, R16_P2, R16_P3, R16_P4, R17_P1, R17_P2, R17_P3, R17_P4, R18_P1, R18_P2, R18_P3, R18_P4, R22_P1, R22_P2, R22_P3, R22_P4</t>
  </si>
  <si>
    <t>16R</t>
  </si>
  <si>
    <t>R14</t>
  </si>
  <si>
    <t>100K</t>
  </si>
  <si>
    <t>ERJ-2RKF102X</t>
  </si>
  <si>
    <t>R23_P1, R23_P2, R23_P3, R23_P4</t>
  </si>
  <si>
    <t>68</t>
  </si>
  <si>
    <t>18.2K</t>
  </si>
  <si>
    <t>R25</t>
  </si>
  <si>
    <t>137K</t>
  </si>
  <si>
    <t>R39</t>
  </si>
  <si>
    <t>1K</t>
  </si>
  <si>
    <t>GRF5509</t>
  </si>
  <si>
    <t>Mixer</t>
  </si>
  <si>
    <t>U4_P1, U4_P2, U4_P3, U4_P4</t>
  </si>
  <si>
    <t>CP-16-3</t>
  </si>
  <si>
    <t>AP7333-33SAG-7</t>
  </si>
  <si>
    <t>U5</t>
  </si>
  <si>
    <t>SOT23</t>
  </si>
  <si>
    <t>FSK</t>
  </si>
  <si>
    <t>FSK Transmitter 900MHz</t>
  </si>
  <si>
    <t>U6_P1, U6_P2, U6_P3, U6_P4</t>
  </si>
  <si>
    <t>10uMax</t>
  </si>
  <si>
    <t>MAX41463GUB+</t>
  </si>
  <si>
    <t>clock</t>
  </si>
  <si>
    <t>si5351A-B QFN16, 1:4</t>
  </si>
  <si>
    <t>U7</t>
  </si>
  <si>
    <t>QFN16_3x3</t>
  </si>
  <si>
    <t>SI5351A-B-GM1</t>
  </si>
  <si>
    <t>SN74LV4052ADR</t>
  </si>
  <si>
    <t>5-V, 4:1, 2-channel analog multiplexer 16-SOIC -40 to 85</t>
  </si>
  <si>
    <t>U8</t>
  </si>
  <si>
    <t>SOIC127P600X175-16N</t>
  </si>
  <si>
    <t>TPS51388</t>
  </si>
  <si>
    <t>Power Switch 8SOT23</t>
  </si>
  <si>
    <t>U9</t>
  </si>
  <si>
    <t>VAB0013A-MFG</t>
  </si>
  <si>
    <t>TPS51388VABR</t>
  </si>
  <si>
    <t>USB-C_12</t>
  </si>
  <si>
    <t>USB Connector</t>
  </si>
  <si>
    <t>USBC</t>
  </si>
  <si>
    <t>USB-C-12</t>
  </si>
  <si>
    <t>XTAL3225P4</t>
  </si>
  <si>
    <t>Crystal 27MHz</t>
  </si>
  <si>
    <t>Y1</t>
  </si>
  <si>
    <t>X3225</t>
  </si>
  <si>
    <t>7M-27.000MEEQ-T</t>
  </si>
  <si>
    <t>27MHz</t>
  </si>
  <si>
    <t>R4_P1, R4_P2, R4_P3, R4_P4, R7_P1, R31_P2, R31_P3, R31_P4</t>
  </si>
  <si>
    <t>LDO</t>
  </si>
  <si>
    <t>旧板子</t>
  </si>
  <si>
    <t>淘宝</t>
  </si>
  <si>
    <t>HYCW566-USBC16-732B</t>
  </si>
  <si>
    <t>EHE06031R5MHB</t>
  </si>
  <si>
    <t>备注</t>
  </si>
  <si>
    <t>嘉立创</t>
  </si>
  <si>
    <t>R2, R8, R10_P1, R10_P2, R10_P3, R10_P4, R12, R15_P1, R15_P2, R15_P3, R15_P4, R19, R20, R22,R27</t>
  </si>
  <si>
    <t>R23, R24</t>
  </si>
  <si>
    <t>V</t>
  </si>
  <si>
    <t>R25(K)</t>
  </si>
  <si>
    <t>R24(K)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</si>
</sst>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 wrapText="1"/>
    </xf>
    <xf numFmtId="0" fontId="2" fillId="0" borderId="1" xfId="0" quotePrefix="1" applyFont="1" applyBorder="1"/>
    <xf numFmtId="0" fontId="2" fillId="0" borderId="1" xfId="0" quotePrefix="1" applyFont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Fill="1" applyBorder="1"/>
    <xf numFmtId="0" fontId="3" fillId="0" borderId="1" xfId="0" quotePrefix="1" applyFont="1" applyBorder="1" applyAlignment="1">
      <alignment wrapText="1"/>
    </xf>
    <xf numFmtId="0" fontId="3" fillId="0" borderId="1" xfId="0" quotePrefix="1" applyFont="1" applyBorder="1"/>
    <xf numFmtId="0" fontId="2" fillId="3" borderId="1" xfId="0" quotePrefix="1" applyFont="1" applyFill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workbookViewId="0">
      <selection sqref="A1:XFD1048576"/>
    </sheetView>
  </sheetViews>
  <sheetFormatPr defaultRowHeight="14.25" x14ac:dyDescent="0.2"/>
  <cols>
    <col min="1" max="2" width="14.42578125" style="1" customWidth="1"/>
    <col min="3" max="3" width="41.28515625" style="2" customWidth="1"/>
    <col min="4" max="4" width="14.42578125" style="1" customWidth="1"/>
    <col min="5" max="5" width="18.85546875" style="1" bestFit="1" customWidth="1"/>
    <col min="6" max="7" width="14.42578125" style="1" customWidth="1"/>
    <col min="8" max="8" width="10.5703125" style="1" customWidth="1"/>
    <col min="9" max="16384" width="9.140625" style="1"/>
  </cols>
  <sheetData>
    <row r="1" spans="1:8" s="1" customFormat="1" x14ac:dyDescent="0.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137</v>
      </c>
    </row>
    <row r="2" spans="1:8" s="1" customFormat="1" ht="71.25" x14ac:dyDescent="0.2">
      <c r="A2" s="5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7">
        <v>25</v>
      </c>
      <c r="G2" s="5" t="s">
        <v>12</v>
      </c>
      <c r="H2" s="8"/>
    </row>
    <row r="3" spans="1:8" s="1" customFormat="1" ht="28.5" x14ac:dyDescent="0.2">
      <c r="A3" s="5" t="s">
        <v>7</v>
      </c>
      <c r="B3" s="5" t="s">
        <v>8</v>
      </c>
      <c r="C3" s="6" t="s">
        <v>13</v>
      </c>
      <c r="D3" s="5" t="s">
        <v>10</v>
      </c>
      <c r="E3" s="5" t="s">
        <v>11</v>
      </c>
      <c r="F3" s="7">
        <v>8</v>
      </c>
      <c r="G3" s="5" t="s">
        <v>14</v>
      </c>
      <c r="H3" s="8"/>
    </row>
    <row r="4" spans="1:8" s="1" customFormat="1" x14ac:dyDescent="0.2">
      <c r="A4" s="5" t="s">
        <v>7</v>
      </c>
      <c r="B4" s="5" t="s">
        <v>8</v>
      </c>
      <c r="C4" s="6" t="s">
        <v>15</v>
      </c>
      <c r="D4" s="5" t="s">
        <v>10</v>
      </c>
      <c r="E4" s="5" t="s">
        <v>11</v>
      </c>
      <c r="F4" s="7">
        <v>4</v>
      </c>
      <c r="G4" s="5" t="s">
        <v>16</v>
      </c>
      <c r="H4" s="8"/>
    </row>
    <row r="5" spans="1:8" s="1" customFormat="1" x14ac:dyDescent="0.2">
      <c r="A5" s="5" t="s">
        <v>7</v>
      </c>
      <c r="B5" s="5" t="s">
        <v>8</v>
      </c>
      <c r="C5" s="6" t="s">
        <v>17</v>
      </c>
      <c r="D5" s="5" t="s">
        <v>10</v>
      </c>
      <c r="E5" s="5" t="s">
        <v>11</v>
      </c>
      <c r="F5" s="7">
        <v>4</v>
      </c>
      <c r="G5" s="5" t="s">
        <v>18</v>
      </c>
      <c r="H5" s="8"/>
    </row>
    <row r="6" spans="1:8" s="1" customFormat="1" x14ac:dyDescent="0.2">
      <c r="A6" s="5" t="s">
        <v>7</v>
      </c>
      <c r="B6" s="5" t="s">
        <v>8</v>
      </c>
      <c r="C6" s="6" t="s">
        <v>19</v>
      </c>
      <c r="D6" s="5" t="s">
        <v>10</v>
      </c>
      <c r="E6" s="5" t="s">
        <v>11</v>
      </c>
      <c r="F6" s="7">
        <v>4</v>
      </c>
      <c r="G6" s="5" t="s">
        <v>20</v>
      </c>
      <c r="H6" s="8"/>
    </row>
    <row r="7" spans="1:8" s="1" customFormat="1" x14ac:dyDescent="0.2">
      <c r="A7" s="5" t="s">
        <v>7</v>
      </c>
      <c r="B7" s="5" t="s">
        <v>8</v>
      </c>
      <c r="C7" s="6" t="s">
        <v>21</v>
      </c>
      <c r="D7" s="5" t="s">
        <v>10</v>
      </c>
      <c r="E7" s="5" t="s">
        <v>11</v>
      </c>
      <c r="F7" s="7">
        <v>4</v>
      </c>
      <c r="G7" s="5" t="s">
        <v>22</v>
      </c>
      <c r="H7" s="8"/>
    </row>
    <row r="8" spans="1:8" s="1" customFormat="1" x14ac:dyDescent="0.2">
      <c r="A8" s="5" t="s">
        <v>7</v>
      </c>
      <c r="B8" s="5" t="s">
        <v>8</v>
      </c>
      <c r="C8" s="6" t="s">
        <v>23</v>
      </c>
      <c r="D8" s="5" t="s">
        <v>24</v>
      </c>
      <c r="E8" s="5" t="s">
        <v>11</v>
      </c>
      <c r="F8" s="7">
        <v>1</v>
      </c>
      <c r="G8" s="5" t="s">
        <v>25</v>
      </c>
      <c r="H8" s="8"/>
    </row>
    <row r="9" spans="1:8" s="1" customFormat="1" x14ac:dyDescent="0.2">
      <c r="A9" s="5" t="s">
        <v>7</v>
      </c>
      <c r="B9" s="5" t="s">
        <v>8</v>
      </c>
      <c r="C9" s="6" t="s">
        <v>26</v>
      </c>
      <c r="D9" s="5" t="s">
        <v>24</v>
      </c>
      <c r="E9" s="5" t="s">
        <v>11</v>
      </c>
      <c r="F9" s="7">
        <v>7</v>
      </c>
      <c r="G9" s="5" t="s">
        <v>27</v>
      </c>
      <c r="H9" s="8"/>
    </row>
    <row r="10" spans="1:8" s="1" customFormat="1" x14ac:dyDescent="0.2">
      <c r="A10" s="5" t="s">
        <v>7</v>
      </c>
      <c r="B10" s="5" t="s">
        <v>8</v>
      </c>
      <c r="C10" s="6" t="s">
        <v>28</v>
      </c>
      <c r="D10" s="5" t="s">
        <v>10</v>
      </c>
      <c r="E10" s="5" t="s">
        <v>11</v>
      </c>
      <c r="F10" s="7">
        <v>1</v>
      </c>
      <c r="G10" s="5" t="s">
        <v>29</v>
      </c>
      <c r="H10" s="8"/>
    </row>
    <row r="11" spans="1:8" s="1" customFormat="1" x14ac:dyDescent="0.2">
      <c r="A11" s="5" t="s">
        <v>7</v>
      </c>
      <c r="B11" s="5" t="s">
        <v>8</v>
      </c>
      <c r="C11" s="6" t="s">
        <v>30</v>
      </c>
      <c r="D11" s="5" t="s">
        <v>24</v>
      </c>
      <c r="E11" s="5" t="s">
        <v>11</v>
      </c>
      <c r="F11" s="7">
        <v>1</v>
      </c>
      <c r="G11" s="5" t="s">
        <v>31</v>
      </c>
      <c r="H11" s="8"/>
    </row>
    <row r="12" spans="1:8" s="1" customFormat="1" x14ac:dyDescent="0.2">
      <c r="A12" s="5" t="s">
        <v>32</v>
      </c>
      <c r="B12" s="5" t="s">
        <v>32</v>
      </c>
      <c r="C12" s="6" t="s">
        <v>33</v>
      </c>
      <c r="D12" s="5" t="s">
        <v>34</v>
      </c>
      <c r="E12" s="5" t="s">
        <v>35</v>
      </c>
      <c r="F12" s="7">
        <v>1</v>
      </c>
      <c r="G12" s="5" t="s">
        <v>11</v>
      </c>
      <c r="H12" s="9" t="s">
        <v>138</v>
      </c>
    </row>
    <row r="13" spans="1:8" s="1" customFormat="1" x14ac:dyDescent="0.2">
      <c r="A13" s="5" t="s">
        <v>36</v>
      </c>
      <c r="B13" s="5" t="s">
        <v>11</v>
      </c>
      <c r="C13" s="10" t="s">
        <v>37</v>
      </c>
      <c r="D13" s="5" t="s">
        <v>38</v>
      </c>
      <c r="E13" s="5" t="s">
        <v>11</v>
      </c>
      <c r="F13" s="7">
        <v>5</v>
      </c>
      <c r="G13" s="11" t="s">
        <v>39</v>
      </c>
      <c r="H13" s="8"/>
    </row>
    <row r="14" spans="1:8" s="1" customFormat="1" x14ac:dyDescent="0.2">
      <c r="A14" s="5" t="s">
        <v>40</v>
      </c>
      <c r="B14" s="5" t="s">
        <v>41</v>
      </c>
      <c r="C14" s="6" t="s">
        <v>42</v>
      </c>
      <c r="D14" s="5" t="s">
        <v>43</v>
      </c>
      <c r="E14" s="5" t="s">
        <v>44</v>
      </c>
      <c r="F14" s="7">
        <v>1</v>
      </c>
      <c r="G14" s="5" t="s">
        <v>11</v>
      </c>
      <c r="H14" s="9" t="s">
        <v>138</v>
      </c>
    </row>
    <row r="15" spans="1:8" s="1" customFormat="1" x14ac:dyDescent="0.2">
      <c r="A15" s="5" t="s">
        <v>45</v>
      </c>
      <c r="B15" s="5" t="s">
        <v>11</v>
      </c>
      <c r="C15" s="6" t="s">
        <v>46</v>
      </c>
      <c r="D15" s="5" t="s">
        <v>47</v>
      </c>
      <c r="E15" s="5" t="s">
        <v>47</v>
      </c>
      <c r="F15" s="7">
        <v>4</v>
      </c>
      <c r="G15" s="5" t="s">
        <v>11</v>
      </c>
      <c r="H15" s="8" t="s">
        <v>134</v>
      </c>
    </row>
    <row r="16" spans="1:8" s="1" customFormat="1" x14ac:dyDescent="0.2">
      <c r="A16" s="5" t="s">
        <v>48</v>
      </c>
      <c r="B16" s="5" t="s">
        <v>49</v>
      </c>
      <c r="C16" s="6" t="s">
        <v>50</v>
      </c>
      <c r="D16" s="5" t="s">
        <v>38</v>
      </c>
      <c r="E16" s="5" t="s">
        <v>51</v>
      </c>
      <c r="F16" s="7">
        <v>4</v>
      </c>
      <c r="G16" s="5" t="s">
        <v>52</v>
      </c>
      <c r="H16" s="8"/>
    </row>
    <row r="17" spans="1:8" s="1" customFormat="1" x14ac:dyDescent="0.2">
      <c r="A17" s="5" t="s">
        <v>48</v>
      </c>
      <c r="B17" s="5" t="s">
        <v>49</v>
      </c>
      <c r="C17" s="6" t="s">
        <v>53</v>
      </c>
      <c r="D17" s="5" t="s">
        <v>38</v>
      </c>
      <c r="E17" s="5" t="s">
        <v>54</v>
      </c>
      <c r="F17" s="7">
        <v>4</v>
      </c>
      <c r="G17" s="5" t="s">
        <v>55</v>
      </c>
      <c r="H17" s="8"/>
    </row>
    <row r="18" spans="1:8" s="1" customFormat="1" ht="28.5" x14ac:dyDescent="0.2">
      <c r="A18" s="5" t="s">
        <v>48</v>
      </c>
      <c r="B18" s="5" t="s">
        <v>49</v>
      </c>
      <c r="C18" s="6" t="s">
        <v>56</v>
      </c>
      <c r="D18" s="5" t="s">
        <v>38</v>
      </c>
      <c r="E18" s="5" t="s">
        <v>54</v>
      </c>
      <c r="F18" s="7">
        <v>8</v>
      </c>
      <c r="G18" s="5" t="s">
        <v>57</v>
      </c>
      <c r="H18" s="8"/>
    </row>
    <row r="19" spans="1:8" s="1" customFormat="1" x14ac:dyDescent="0.2">
      <c r="A19" s="5" t="s">
        <v>48</v>
      </c>
      <c r="B19" s="5" t="s">
        <v>11</v>
      </c>
      <c r="C19" s="6" t="s">
        <v>58</v>
      </c>
      <c r="D19" s="5" t="s">
        <v>38</v>
      </c>
      <c r="E19" s="5" t="s">
        <v>59</v>
      </c>
      <c r="F19" s="7">
        <v>4</v>
      </c>
      <c r="G19" s="5" t="s">
        <v>60</v>
      </c>
      <c r="H19" s="8"/>
    </row>
    <row r="20" spans="1:8" s="1" customFormat="1" x14ac:dyDescent="0.2">
      <c r="A20" s="5" t="s">
        <v>48</v>
      </c>
      <c r="B20" s="5" t="s">
        <v>11</v>
      </c>
      <c r="C20" s="6" t="s">
        <v>61</v>
      </c>
      <c r="D20" s="5" t="s">
        <v>62</v>
      </c>
      <c r="E20" s="5" t="s">
        <v>136</v>
      </c>
      <c r="F20" s="7">
        <v>1</v>
      </c>
      <c r="G20" s="5" t="s">
        <v>63</v>
      </c>
      <c r="H20" s="9" t="s">
        <v>138</v>
      </c>
    </row>
    <row r="21" spans="1:8" s="1" customFormat="1" x14ac:dyDescent="0.2">
      <c r="A21" s="5" t="s">
        <v>64</v>
      </c>
      <c r="B21" s="5" t="s">
        <v>65</v>
      </c>
      <c r="C21" s="6" t="s">
        <v>66</v>
      </c>
      <c r="D21" s="5" t="s">
        <v>67</v>
      </c>
      <c r="E21" s="5" t="s">
        <v>68</v>
      </c>
      <c r="F21" s="7">
        <v>1</v>
      </c>
      <c r="G21" s="5" t="s">
        <v>11</v>
      </c>
      <c r="H21" s="9" t="s">
        <v>138</v>
      </c>
    </row>
    <row r="22" spans="1:8" s="1" customFormat="1" x14ac:dyDescent="0.2">
      <c r="A22" s="5" t="s">
        <v>69</v>
      </c>
      <c r="B22" s="5" t="s">
        <v>70</v>
      </c>
      <c r="C22" s="6" t="s">
        <v>71</v>
      </c>
      <c r="D22" s="5" t="s">
        <v>72</v>
      </c>
      <c r="E22" s="5" t="s">
        <v>73</v>
      </c>
      <c r="F22" s="7">
        <v>4</v>
      </c>
      <c r="G22" s="5" t="s">
        <v>74</v>
      </c>
      <c r="H22" s="9" t="s">
        <v>133</v>
      </c>
    </row>
    <row r="23" spans="1:8" s="1" customFormat="1" ht="28.5" x14ac:dyDescent="0.2">
      <c r="A23" s="5" t="s">
        <v>36</v>
      </c>
      <c r="B23" s="5" t="s">
        <v>75</v>
      </c>
      <c r="C23" s="10" t="s">
        <v>76</v>
      </c>
      <c r="D23" s="5" t="s">
        <v>77</v>
      </c>
      <c r="E23" s="5" t="s">
        <v>78</v>
      </c>
      <c r="F23" s="7">
        <v>12</v>
      </c>
      <c r="G23" s="11" t="s">
        <v>39</v>
      </c>
      <c r="H23" s="9"/>
    </row>
    <row r="24" spans="1:8" s="1" customFormat="1" ht="42.75" x14ac:dyDescent="0.2">
      <c r="A24" s="5" t="s">
        <v>36</v>
      </c>
      <c r="B24" s="5" t="s">
        <v>75</v>
      </c>
      <c r="C24" s="6" t="s">
        <v>139</v>
      </c>
      <c r="D24" s="5" t="s">
        <v>77</v>
      </c>
      <c r="E24" s="5" t="s">
        <v>11</v>
      </c>
      <c r="F24" s="7">
        <v>15</v>
      </c>
      <c r="G24" s="12" t="s">
        <v>79</v>
      </c>
      <c r="H24" s="8"/>
    </row>
    <row r="25" spans="1:8" s="1" customFormat="1" ht="28.5" x14ac:dyDescent="0.2">
      <c r="A25" s="5" t="s">
        <v>36</v>
      </c>
      <c r="B25" s="5" t="s">
        <v>75</v>
      </c>
      <c r="C25" s="6" t="s">
        <v>131</v>
      </c>
      <c r="D25" s="5" t="s">
        <v>77</v>
      </c>
      <c r="E25" s="5" t="s">
        <v>11</v>
      </c>
      <c r="F25" s="7">
        <v>12</v>
      </c>
      <c r="G25" s="12" t="s">
        <v>80</v>
      </c>
      <c r="H25" s="8"/>
    </row>
    <row r="26" spans="1:8" s="1" customFormat="1" x14ac:dyDescent="0.2">
      <c r="A26" s="5" t="s">
        <v>36</v>
      </c>
      <c r="B26" s="5" t="s">
        <v>75</v>
      </c>
      <c r="C26" s="6" t="s">
        <v>81</v>
      </c>
      <c r="D26" s="5" t="s">
        <v>77</v>
      </c>
      <c r="E26" s="5" t="s">
        <v>11</v>
      </c>
      <c r="F26" s="7">
        <v>4</v>
      </c>
      <c r="G26" s="12" t="s">
        <v>82</v>
      </c>
      <c r="H26" s="8"/>
    </row>
    <row r="27" spans="1:8" s="1" customFormat="1" ht="71.25" x14ac:dyDescent="0.2">
      <c r="A27" s="5" t="s">
        <v>36</v>
      </c>
      <c r="B27" s="5" t="s">
        <v>75</v>
      </c>
      <c r="C27" s="6" t="s">
        <v>83</v>
      </c>
      <c r="D27" s="5" t="s">
        <v>77</v>
      </c>
      <c r="E27" s="5" t="s">
        <v>11</v>
      </c>
      <c r="F27" s="7">
        <v>20</v>
      </c>
      <c r="G27" s="12" t="s">
        <v>84</v>
      </c>
      <c r="H27" s="8"/>
    </row>
    <row r="28" spans="1:8" s="1" customFormat="1" x14ac:dyDescent="0.2">
      <c r="A28" s="5" t="s">
        <v>36</v>
      </c>
      <c r="B28" s="5" t="s">
        <v>75</v>
      </c>
      <c r="C28" s="6" t="s">
        <v>85</v>
      </c>
      <c r="D28" s="5" t="s">
        <v>77</v>
      </c>
      <c r="E28" s="5" t="s">
        <v>11</v>
      </c>
      <c r="F28" s="7">
        <v>1</v>
      </c>
      <c r="G28" s="12" t="s">
        <v>86</v>
      </c>
      <c r="H28" s="8"/>
    </row>
    <row r="29" spans="1:8" s="1" customFormat="1" x14ac:dyDescent="0.2">
      <c r="A29" s="5" t="s">
        <v>36</v>
      </c>
      <c r="B29" s="5" t="s">
        <v>75</v>
      </c>
      <c r="C29" s="6" t="s">
        <v>88</v>
      </c>
      <c r="D29" s="5" t="s">
        <v>77</v>
      </c>
      <c r="E29" s="5" t="s">
        <v>11</v>
      </c>
      <c r="F29" s="7">
        <v>4</v>
      </c>
      <c r="G29" s="12" t="s">
        <v>89</v>
      </c>
      <c r="H29" s="8"/>
    </row>
    <row r="30" spans="1:8" s="1" customFormat="1" x14ac:dyDescent="0.2">
      <c r="A30" s="5" t="s">
        <v>36</v>
      </c>
      <c r="B30" s="5" t="s">
        <v>75</v>
      </c>
      <c r="C30" s="6" t="s">
        <v>140</v>
      </c>
      <c r="D30" s="5" t="s">
        <v>77</v>
      </c>
      <c r="E30" s="5" t="s">
        <v>87</v>
      </c>
      <c r="F30" s="7">
        <v>2</v>
      </c>
      <c r="G30" s="12" t="s">
        <v>90</v>
      </c>
      <c r="H30" s="8"/>
    </row>
    <row r="31" spans="1:8" s="1" customFormat="1" x14ac:dyDescent="0.2">
      <c r="A31" s="5" t="s">
        <v>36</v>
      </c>
      <c r="B31" s="5" t="s">
        <v>75</v>
      </c>
      <c r="C31" s="6" t="s">
        <v>91</v>
      </c>
      <c r="D31" s="5" t="s">
        <v>77</v>
      </c>
      <c r="E31" s="5" t="s">
        <v>87</v>
      </c>
      <c r="F31" s="7">
        <v>1</v>
      </c>
      <c r="G31" s="5" t="s">
        <v>92</v>
      </c>
      <c r="H31" s="8"/>
    </row>
    <row r="32" spans="1:8" s="1" customFormat="1" x14ac:dyDescent="0.2">
      <c r="A32" s="5" t="s">
        <v>36</v>
      </c>
      <c r="B32" s="5" t="s">
        <v>75</v>
      </c>
      <c r="C32" s="6" t="s">
        <v>93</v>
      </c>
      <c r="D32" s="5" t="s">
        <v>77</v>
      </c>
      <c r="E32" s="5" t="s">
        <v>87</v>
      </c>
      <c r="F32" s="7">
        <v>1</v>
      </c>
      <c r="G32" s="12" t="s">
        <v>94</v>
      </c>
      <c r="H32" s="8"/>
    </row>
    <row r="33" spans="1:8" s="1" customFormat="1" x14ac:dyDescent="0.2">
      <c r="A33" s="5" t="s">
        <v>95</v>
      </c>
      <c r="B33" s="5" t="s">
        <v>96</v>
      </c>
      <c r="C33" s="6" t="s">
        <v>97</v>
      </c>
      <c r="D33" s="5" t="s">
        <v>98</v>
      </c>
      <c r="E33" s="5" t="s">
        <v>95</v>
      </c>
      <c r="F33" s="7">
        <v>4</v>
      </c>
      <c r="G33" s="5" t="s">
        <v>11</v>
      </c>
      <c r="H33" s="9" t="s">
        <v>133</v>
      </c>
    </row>
    <row r="34" spans="1:8" s="1" customFormat="1" x14ac:dyDescent="0.2">
      <c r="A34" s="5" t="s">
        <v>99</v>
      </c>
      <c r="B34" s="5" t="s">
        <v>132</v>
      </c>
      <c r="C34" s="6" t="s">
        <v>100</v>
      </c>
      <c r="D34" s="5" t="s">
        <v>101</v>
      </c>
      <c r="E34" s="5" t="s">
        <v>99</v>
      </c>
      <c r="F34" s="7">
        <v>1</v>
      </c>
      <c r="G34" s="5" t="s">
        <v>11</v>
      </c>
      <c r="H34" s="9" t="s">
        <v>133</v>
      </c>
    </row>
    <row r="35" spans="1:8" s="1" customFormat="1" x14ac:dyDescent="0.2">
      <c r="A35" s="5" t="s">
        <v>102</v>
      </c>
      <c r="B35" s="5" t="s">
        <v>103</v>
      </c>
      <c r="C35" s="6" t="s">
        <v>104</v>
      </c>
      <c r="D35" s="5" t="s">
        <v>105</v>
      </c>
      <c r="E35" s="5" t="s">
        <v>106</v>
      </c>
      <c r="F35" s="7">
        <v>4</v>
      </c>
      <c r="G35" s="5" t="s">
        <v>11</v>
      </c>
      <c r="H35" s="9" t="s">
        <v>133</v>
      </c>
    </row>
    <row r="36" spans="1:8" s="1" customFormat="1" x14ac:dyDescent="0.2">
      <c r="A36" s="5" t="s">
        <v>107</v>
      </c>
      <c r="B36" s="5" t="s">
        <v>108</v>
      </c>
      <c r="C36" s="6" t="s">
        <v>109</v>
      </c>
      <c r="D36" s="5" t="s">
        <v>110</v>
      </c>
      <c r="E36" s="5" t="s">
        <v>111</v>
      </c>
      <c r="F36" s="7">
        <v>1</v>
      </c>
      <c r="G36" s="5" t="s">
        <v>11</v>
      </c>
      <c r="H36" s="9" t="s">
        <v>133</v>
      </c>
    </row>
    <row r="37" spans="1:8" s="1" customFormat="1" x14ac:dyDescent="0.2">
      <c r="A37" s="5" t="s">
        <v>112</v>
      </c>
      <c r="B37" s="5" t="s">
        <v>113</v>
      </c>
      <c r="C37" s="6" t="s">
        <v>114</v>
      </c>
      <c r="D37" s="5" t="s">
        <v>115</v>
      </c>
      <c r="E37" s="5" t="s">
        <v>11</v>
      </c>
      <c r="F37" s="7">
        <v>1</v>
      </c>
      <c r="G37" s="5" t="s">
        <v>11</v>
      </c>
      <c r="H37" s="9" t="s">
        <v>138</v>
      </c>
    </row>
    <row r="38" spans="1:8" s="1" customFormat="1" x14ac:dyDescent="0.2">
      <c r="A38" s="5" t="s">
        <v>116</v>
      </c>
      <c r="B38" s="5" t="s">
        <v>117</v>
      </c>
      <c r="C38" s="6" t="s">
        <v>118</v>
      </c>
      <c r="D38" s="5" t="s">
        <v>119</v>
      </c>
      <c r="E38" s="5" t="s">
        <v>120</v>
      </c>
      <c r="F38" s="7">
        <v>1</v>
      </c>
      <c r="G38" s="5" t="s">
        <v>11</v>
      </c>
      <c r="H38" s="9" t="s">
        <v>138</v>
      </c>
    </row>
    <row r="39" spans="1:8" s="1" customFormat="1" x14ac:dyDescent="0.2">
      <c r="A39" s="5" t="s">
        <v>121</v>
      </c>
      <c r="B39" s="5" t="s">
        <v>122</v>
      </c>
      <c r="C39" s="6" t="s">
        <v>123</v>
      </c>
      <c r="D39" s="5" t="s">
        <v>124</v>
      </c>
      <c r="E39" s="5" t="s">
        <v>135</v>
      </c>
      <c r="F39" s="7">
        <v>1</v>
      </c>
      <c r="G39" s="5" t="s">
        <v>11</v>
      </c>
      <c r="H39" s="9" t="s">
        <v>138</v>
      </c>
    </row>
    <row r="40" spans="1:8" s="1" customFormat="1" x14ac:dyDescent="0.2">
      <c r="A40" s="5" t="s">
        <v>125</v>
      </c>
      <c r="B40" s="5" t="s">
        <v>126</v>
      </c>
      <c r="C40" s="6" t="s">
        <v>127</v>
      </c>
      <c r="D40" s="5" t="s">
        <v>128</v>
      </c>
      <c r="E40" s="5" t="s">
        <v>129</v>
      </c>
      <c r="F40" s="7">
        <v>1</v>
      </c>
      <c r="G40" s="5" t="s">
        <v>130</v>
      </c>
      <c r="H40" s="9" t="s">
        <v>133</v>
      </c>
    </row>
    <row r="41" spans="1:8" s="1" customFormat="1" x14ac:dyDescent="0.2">
      <c r="C41" s="2"/>
    </row>
    <row r="42" spans="1:8" s="1" customFormat="1" x14ac:dyDescent="0.2">
      <c r="C42" s="2"/>
    </row>
    <row r="43" spans="1:8" s="1" customFormat="1" x14ac:dyDescent="0.2">
      <c r="C43" s="2"/>
      <c r="D43" s="9" t="s">
        <v>142</v>
      </c>
      <c r="E43" s="9" t="s">
        <v>143</v>
      </c>
      <c r="F43" s="8" t="s">
        <v>141</v>
      </c>
    </row>
    <row r="44" spans="1:8" s="1" customFormat="1" x14ac:dyDescent="0.2">
      <c r="C44" s="2"/>
      <c r="D44" s="8">
        <v>137</v>
      </c>
      <c r="E44" s="8">
        <v>18.2</v>
      </c>
      <c r="F44" s="13">
        <f>0.6*(1+D44/E44)</f>
        <v>5.1164835164835161</v>
      </c>
    </row>
    <row r="45" spans="1:8" s="1" customFormat="1" x14ac:dyDescent="0.2">
      <c r="C45" s="2"/>
      <c r="D45" s="8">
        <v>110</v>
      </c>
      <c r="E45" s="8">
        <v>15</v>
      </c>
      <c r="F45" s="8">
        <f>0.6*(1+D45/E45)</f>
        <v>4.9999999999999991</v>
      </c>
    </row>
    <row r="46" spans="1:8" s="1" customFormat="1" x14ac:dyDescent="0.2">
      <c r="C46" s="2"/>
      <c r="D46" s="8">
        <v>137</v>
      </c>
      <c r="E46" s="8">
        <v>20</v>
      </c>
      <c r="F46" s="8">
        <f>0.6*(1+D46/E46)</f>
        <v>4.71</v>
      </c>
    </row>
  </sheetData>
  <pageMargins left="0.7" right="0.7" top="0.75" bottom="0.75" header="0.3" footer="0.3"/>
  <pageSetup paperSize="9"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Guangzhou3A</vt:lpstr>
      <vt:lpstr>Guangzhou3A!Print_Area</vt:lpstr>
    </vt:vector>
  </TitlesOfParts>
  <Company>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2026-01-02T04:33:41Z</cp:lastPrinted>
  <dcterms:created xsi:type="dcterms:W3CDTF">2025-11-09T03:43:07Z</dcterms:created>
  <dcterms:modified xsi:type="dcterms:W3CDTF">2026-01-02T04:33:55Z</dcterms:modified>
</cp:coreProperties>
</file>